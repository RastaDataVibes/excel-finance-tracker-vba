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opiobethle/"/>
    </mc:Choice>
  </mc:AlternateContent>
  <xr:revisionPtr revIDLastSave="0" documentId="8_{1D606008-D985-984A-ABAA-C371210A7F61}" xr6:coauthVersionLast="47" xr6:coauthVersionMax="47" xr10:uidLastSave="{00000000-0000-0000-0000-000000000000}"/>
  <bookViews>
    <workbookView xWindow="0" yWindow="0" windowWidth="25600" windowHeight="16000" xr2:uid="{2D85A78D-D7B4-014F-8835-901CC8B7103C}"/>
  </bookViews>
  <sheets>
    <sheet name="FinanceTracker" sheetId="13" r:id="rId1"/>
    <sheet name="Transactions" sheetId="1" r:id="rId2"/>
    <sheet name="Sheet2" sheetId="2" r:id="rId3"/>
  </sheets>
  <definedNames>
    <definedName name="CategoryList">table2[Category]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" i="13" l="1"/>
  <c r="R12" i="13"/>
  <c r="Q12" i="13"/>
  <c r="P12" i="13"/>
  <c r="O12" i="13"/>
  <c r="N12" i="13"/>
  <c r="M12" i="13"/>
  <c r="L12" i="13"/>
  <c r="K12" i="13"/>
  <c r="J12" i="13"/>
  <c r="I12" i="13"/>
  <c r="H12" i="13"/>
  <c r="G12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D13" i="13"/>
  <c r="C13" i="13"/>
  <c r="B13" i="13"/>
  <c r="D12" i="13"/>
  <c r="B12" i="13"/>
  <c r="D11" i="13"/>
  <c r="B11" i="13"/>
  <c r="D10" i="13"/>
  <c r="B10" i="13"/>
  <c r="D9" i="13"/>
  <c r="B9" i="13"/>
  <c r="D8" i="13"/>
  <c r="B8" i="13"/>
  <c r="D5" i="13"/>
  <c r="C5" i="13"/>
  <c r="B5" i="13"/>
  <c r="D4" i="13"/>
  <c r="B4" i="13"/>
  <c r="A10" i="1"/>
  <c r="B10" i="1"/>
  <c r="A9" i="1"/>
  <c r="B9" i="1"/>
  <c r="A8" i="1"/>
  <c r="B8" i="1"/>
  <c r="A7" i="1"/>
  <c r="B7" i="1"/>
  <c r="A6" i="1"/>
  <c r="B6" i="1"/>
  <c r="A5" i="1"/>
  <c r="B5" i="1"/>
  <c r="A4" i="1"/>
  <c r="B4" i="1"/>
  <c r="A3" i="1"/>
  <c r="B3" i="1"/>
  <c r="B2" i="1"/>
  <c r="A2" i="1"/>
</calcChain>
</file>

<file path=xl/sharedStrings.xml><?xml version="1.0" encoding="utf-8"?>
<sst xmlns="http://schemas.openxmlformats.org/spreadsheetml/2006/main" count="72" uniqueCount="38">
  <si>
    <t>YEAR</t>
  </si>
  <si>
    <t>Month</t>
  </si>
  <si>
    <t>Date</t>
  </si>
  <si>
    <t>Description</t>
  </si>
  <si>
    <t>Category</t>
  </si>
  <si>
    <t>Income</t>
  </si>
  <si>
    <t>Debit</t>
  </si>
  <si>
    <t>Balance</t>
  </si>
  <si>
    <t>sample</t>
  </si>
  <si>
    <t>other</t>
  </si>
  <si>
    <t>income</t>
  </si>
  <si>
    <t>Type</t>
  </si>
  <si>
    <t>Salary</t>
  </si>
  <si>
    <t>Transport</t>
  </si>
  <si>
    <t>Diesel</t>
  </si>
  <si>
    <t>Feeds</t>
  </si>
  <si>
    <t>Other</t>
  </si>
  <si>
    <t>Month-to-Date</t>
  </si>
  <si>
    <t>Total</t>
  </si>
  <si>
    <t>Budgeted</t>
  </si>
  <si>
    <t>Vs Budget</t>
  </si>
  <si>
    <t>Year-to-Date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</si>
  <si>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</si>
  <si>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</si>
  <si>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</si>
  <si>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</si>
  <si>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</si>
  <si>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</si>
  <si>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</si>
  <si>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</si>
  <si>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</si>
  <si>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</si>
  <si>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</si>
  <si>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</si>
  <si>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Debits / Expenses</t>
  </si>
  <si>
    <t>Total Expenses</t>
  </si>
  <si>
    <t>Total Income</t>
  </si>
  <si>
    <t>Total Debits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</si>
</sst>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UGX]\ #,##0.00"/>
  </numFmts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4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numFmt numFmtId="164" formatCode="[$UGX]\ #,##0.00"/>
    </dxf>
    <dxf>
      <numFmt numFmtId="164" formatCode="[$UGX]\ #,##0.00"/>
    </dxf>
    <dxf>
      <numFmt numFmtId="164" formatCode="[$UGX]\ #,##0.00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MTD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FinanceTracker!$A$4:$A$12</c:f>
              <c:strCache>
                <c:ptCount val="9"/>
                <c:pt idx="0">
                  <c:v>Income</c:v>
                </c:pt>
                <c:pt idx="1">
                  <c:v>Total Income</c:v>
                </c:pt>
                <c:pt idx="3">
                  <c:v>Debits / Expenses</c:v>
                </c:pt>
                <c:pt idx="4">
                  <c:v>Salary</c:v>
                </c:pt>
                <c:pt idx="5">
                  <c:v>Transport</c:v>
                </c:pt>
                <c:pt idx="6">
                  <c:v>Diesel</c:v>
                </c:pt>
                <c:pt idx="7">
                  <c:v>Feeds</c:v>
                </c:pt>
                <c:pt idx="8">
                  <c:v>Other</c:v>
                </c:pt>
              </c:strCache>
            </c:strRef>
          </c:cat>
          <c:val>
            <c:numRef>
              <c:f>FinanceTracker!$B$4:$B$12</c:f>
              <c:numCache>
                <c:formatCode>[$UGX]\ #,##0.00</c:formatCode>
                <c:ptCount val="9"/>
                <c:pt idx="0">
                  <c:v>0</c:v>
                </c:pt>
                <c:pt idx="1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1-F74B-BAA1-4C25F1670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YTD Income vs Total Expenses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FinanceTracker!$G$4:$R$4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11-A648-ADBC-7621B0F18FAE}"/>
            </c:ext>
          </c:extLst>
        </c:ser>
        <c:ser>
          <c:idx val="1"/>
          <c:order val="1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FinanceTracker!$G$5:$R$5</c:f>
              <c:numCache>
                <c:formatCode>[$UGX]\ 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7311-A648-ADBC-7621B0F18FAE}"/>
            </c:ext>
          </c:extLst>
        </c:ser>
        <c:ser>
          <c:idx val="2"/>
          <c:order val="2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FinanceTracker!$G$6:$R$6</c:f>
              <c:numCache>
                <c:formatCode>[$UGX]\ 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7311-A648-ADBC-7621B0F18FAE}"/>
            </c:ext>
          </c:extLst>
        </c:ser>
        <c:ser>
          <c:idx val="3"/>
          <c:order val="3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FinanceTracker!$G$7:$R$7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11-A648-ADBC-7621B0F18FAE}"/>
            </c:ext>
          </c:extLst>
        </c:ser>
        <c:ser>
          <c:idx val="4"/>
          <c:order val="4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FinanceTracker!$G$8:$R$8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11-A648-ADBC-7621B0F18FAE}"/>
            </c:ext>
          </c:extLst>
        </c:ser>
        <c:ser>
          <c:idx val="5"/>
          <c:order val="5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FinanceTracker!$G$9:$R$9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11-A648-ADBC-7621B0F18FAE}"/>
            </c:ext>
          </c:extLst>
        </c:ser>
        <c:ser>
          <c:idx val="6"/>
          <c:order val="6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FinanceTracker!$G$10:$R$10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11-A648-ADBC-7621B0F18FAE}"/>
            </c:ext>
          </c:extLst>
        </c:ser>
        <c:ser>
          <c:idx val="7"/>
          <c:order val="7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FinanceTracker!$G$11:$R$11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11-A648-ADBC-7621B0F18FAE}"/>
            </c:ext>
          </c:extLst>
        </c:ser>
        <c:ser>
          <c:idx val="8"/>
          <c:order val="8"/>
          <c:invertIfNegative val="0"/>
          <c:cat>
            <c:strRef>
              <c:f>FinanceTracker!$G$3:$R$3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FinanceTracker!$G$12:$R$12</c:f>
              <c:numCache>
                <c:formatCode>[$UGX]\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11-A648-ADBC-7621B0F18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361872"/>
        <c:axId val="1476606992"/>
      </c:barChart>
      <c:catAx>
        <c:axId val="139536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6606992"/>
        <c:crosses val="autoZero"/>
        <c:auto val="1"/>
        <c:lblAlgn val="ctr"/>
        <c:lblOffset val="100"/>
        <c:noMultiLvlLbl val="0"/>
      </c:catAx>
      <c:valAx>
        <c:axId val="1476606992"/>
        <c:scaling>
          <c:orientation val="minMax"/>
        </c:scaling>
        <c:delete val="0"/>
        <c:axPos val="l"/>
        <c:majorGridlines/>
        <c:numFmt formatCode="[$UGX]\ #,##0.00" sourceLinked="1"/>
        <c:majorTickMark val="out"/>
        <c:minorTickMark val="none"/>
        <c:tickLblPos val="nextTo"/>
        <c:crossAx val="1395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4</xdr:col>
      <xdr:colOff>508000</xdr:colOff>
      <xdr:row>29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0D3602-05CF-E086-4917-2DCA71C84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0</xdr:rowOff>
    </xdr:from>
    <xdr:to>
      <xdr:col>19</xdr:col>
      <xdr:colOff>25400</xdr:colOff>
      <xdr:row>32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030FD7-4566-EA7F-992C-F3A0A578C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9AB83-2D97-0849-BFEC-7206F39D8203}" name="Table1" displayName="Table1" ref="A1:H10" totalsRowShown="0">
  <autoFilter ref="A1:H10" xr:uid="{DF49AB83-2D97-0849-BFEC-7206F39D8203}"/>
  <tableColumns count="8">
    <tableColumn id="1" xr3:uid="{9767348E-4EE6-8846-A2F5-F6AE956151A5}" name="YEAR">
      <calculatedColumnFormula>YEAR(Table1[[#This Row],[Date]])</calculatedColumnFormula>
    </tableColumn>
    <tableColumn id="2" xr3:uid="{D4A31F97-75C6-DE4F-8E48-C73E9E8E59E5}" name="Month">
      <calculatedColumnFormula>TEXT(Table1[[#This Row],[Date]], "mmmm")</calculatedColumnFormula>
    </tableColumn>
    <tableColumn id="3" xr3:uid="{0F57CB27-BA00-684E-8572-D9C4D8D07418}" name="Date" dataDxfId="3"/>
    <tableColumn id="4" xr3:uid="{B6FA1A16-D1F4-A542-BDF2-170C11F4A432}" name="Description"/>
    <tableColumn id="5" xr3:uid="{4F102220-9520-7549-9DC6-1C6D2058B686}" name="Category"/>
    <tableColumn id="6" xr3:uid="{8C9D1A71-6885-0B49-A01C-CEDD09564892}" name="Income" dataDxfId="2"/>
    <tableColumn id="7" xr3:uid="{C606DAC0-02A9-6A49-95FC-AB6D34650F58}" name="Debit" dataDxfId="1"/>
    <tableColumn id="8" xr3:uid="{E1A76196-2E33-BB48-92FB-D2A3609CBDED}" name="Balanc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86CA8E-83A9-7642-81EC-175421F8E6FA}" name="table2" displayName="table2" ref="A1:B7" totalsRowShown="0">
  <autoFilter ref="A1:B7" xr:uid="{E486CA8E-83A9-7642-81EC-175421F8E6FA}"/>
  <tableColumns count="2">
    <tableColumn id="1" xr3:uid="{79565478-045E-5345-A48A-3898DD665FB9}" name="Category"/>
    <tableColumn id="2" xr3:uid="{8F0EA0A4-984C-7644-99E1-D2777DC49F7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7527-2C9E-1042-93D8-02F4DE4055A4}">
  <sheetPr codeName="Sheet13"/>
  <dimension ref="A1:S13"/>
  <sheetViews>
    <sheetView tabSelected="1" workbookViewId="0">
      <selection activeCell="F4" sqref="F4"/>
    </sheetView>
  </sheetViews>
  <sheetFormatPr baseColWidth="10" defaultRowHeight="16" x14ac:dyDescent="0.2"/>
  <cols>
    <col min="1" max="1" width="15.83203125" bestFit="1" customWidth="1"/>
    <col min="2" max="2" width="8.5" bestFit="1" customWidth="1"/>
    <col min="3" max="3" width="9.1640625" bestFit="1" customWidth="1"/>
    <col min="4" max="4" width="9.6640625" bestFit="1" customWidth="1"/>
    <col min="6" max="6" width="15.83203125" bestFit="1" customWidth="1"/>
    <col min="7" max="14" width="9" bestFit="1" customWidth="1"/>
    <col min="15" max="15" width="10.33203125" bestFit="1" customWidth="1"/>
    <col min="16" max="16" width="9" bestFit="1" customWidth="1"/>
    <col min="17" max="17" width="9.83203125" bestFit="1" customWidth="1"/>
    <col min="18" max="18" width="10" bestFit="1" customWidth="1"/>
    <col min="19" max="19" width="9" bestFit="1" customWidth="1"/>
  </cols>
  <sheetData>
    <row r="1" spans="1:19" ht="19" x14ac:dyDescent="0.25">
      <c r="A1" s="4" t="s">
        <v>17</v>
      </c>
      <c r="F1" s="5" t="s">
        <v>21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</row>
    <row r="3" spans="1:19" x14ac:dyDescent="0.2">
      <c r="A3" s="3" t="s">
        <v>4</v>
      </c>
      <c r="B3" s="3" t="s">
        <v>18</v>
      </c>
      <c r="C3" s="3" t="s">
        <v>19</v>
      </c>
      <c r="D3" s="3" t="s">
        <v>20</v>
      </c>
      <c r="F3" s="3" t="s">
        <v>4</v>
      </c>
      <c r="G3" s="3" t="s">
        <v>22</v>
      </c>
      <c r="H3" s="3" t="s">
        <v>23</v>
      </c>
      <c r="I3" s="3" t="s">
        <v>24</v>
      </c>
      <c r="J3" s="3" t="s">
        <v>25</v>
      </c>
      <c r="K3" s="3" t="s">
        <v>26</v>
      </c>
      <c r="L3" s="3" t="s">
        <v>27</v>
      </c>
      <c r="M3" s="3" t="s">
        <v>28</v>
      </c>
      <c r="N3" s="3" t="s">
        <v>29</v>
      </c>
      <c r="O3" s="3" t="s">
        <v>30</v>
      </c>
      <c r="P3" s="3" t="s">
        <v>31</v>
      </c>
      <c r="Q3" s="3" t="s">
        <v>32</v>
      </c>
      <c r="R3" s="3" t="s">
        <v>33</v>
      </c>
      <c r="S3" s="3" t="s">
        <v>18</v>
      </c>
    </row>
    <row r="4" spans="1:19" x14ac:dyDescent="0.2">
      <c r="A4" t="s">
        <v>5</v>
      </c>
      <c r="B4" s="2">
        <f>SUMIFS(Transactions!G:G, Transactions!D:D, "Income", Transactions!B:B, 8)</f>
        <v>0</v>
      </c>
      <c r="C4" s="2">
        <v>0</v>
      </c>
      <c r="D4" s="2">
        <f>$B$4-$C$4</f>
        <v>0</v>
      </c>
      <c r="F4" t="s">
        <v>5</v>
      </c>
      <c r="G4" s="2">
        <f>SUMIFS(Transactions!G:G, Transactions!D:D, "Income", Transactions!B:B, 1)</f>
        <v>0</v>
      </c>
      <c r="H4" s="2">
        <f>SUMIFS(Transactions!G:G, Transactions!D:D, "Income", Transactions!B:B, 2)</f>
        <v>0</v>
      </c>
      <c r="I4" s="2">
        <f>SUMIFS(Transactions!G:G, Transactions!D:D, "Income", Transactions!B:B, 3)</f>
        <v>0</v>
      </c>
      <c r="J4" s="2">
        <f>SUMIFS(Transactions!G:G, Transactions!D:D, "Income", Transactions!B:B, 4)</f>
        <v>0</v>
      </c>
      <c r="K4" s="2">
        <f>SUMIFS(Transactions!G:G, Transactions!D:D, "Income", Transactions!B:B, 5)</f>
        <v>0</v>
      </c>
      <c r="L4" s="2">
        <f>SUMIFS(Transactions!G:G, Transactions!D:D, "Income", Transactions!B:B, 6)</f>
        <v>0</v>
      </c>
      <c r="M4" s="2">
        <f>SUMIFS(Transactions!G:G, Transactions!D:D, "Income", Transactions!B:B, 7)</f>
        <v>0</v>
      </c>
      <c r="N4" s="2">
        <f>SUMIFS(Transactions!G:G, Transactions!D:D, "Income", Transactions!B:B, 8)</f>
        <v>0</v>
      </c>
      <c r="O4" s="2">
        <f>SUMIFS(Transactions!G:G, Transactions!D:D, "Income", Transactions!B:B, 9)</f>
        <v>0</v>
      </c>
      <c r="P4" s="2">
        <f>SUMIFS(Transactions!G:G, Transactions!D:D, "Income", Transactions!B:B, 10)</f>
        <v>0</v>
      </c>
      <c r="Q4" s="2">
        <f>SUMIFS(Transactions!G:G, Transactions!D:D, "Income", Transactions!B:B, 11)</f>
        <v>0</v>
      </c>
      <c r="R4" s="2">
        <f>SUMIFS(Transactions!G:G, Transactions!D:D, "Income", Transactions!B:B, 12)</f>
        <v>0</v>
      </c>
      <c r="S4" s="2">
        <f>SUM($G$4:$R$4)</f>
        <v>0</v>
      </c>
    </row>
    <row r="5" spans="1:19" x14ac:dyDescent="0.2">
      <c r="A5" t="s">
        <v>36</v>
      </c>
      <c r="B5" s="2">
        <f>SUM($B$4)</f>
        <v>0</v>
      </c>
      <c r="C5" s="2">
        <f>SUM($C$4)</f>
        <v>0</v>
      </c>
      <c r="D5" s="2">
        <f>$B$5-$C$5</f>
        <v>0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">
      <c r="B6" s="2"/>
      <c r="C6" s="2"/>
      <c r="D6" s="2"/>
      <c r="F6" s="3" t="s">
        <v>34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">
      <c r="A7" s="3" t="s">
        <v>34</v>
      </c>
      <c r="B7" s="2"/>
      <c r="C7" s="2"/>
      <c r="D7" s="2"/>
      <c r="F7" t="s">
        <v>12</v>
      </c>
      <c r="G7" s="2">
        <f>SUMIFS(Transactions!H:H, Transactions!D:D, "Salary", Transactions!B:B, 1)</f>
        <v>0</v>
      </c>
      <c r="H7" s="2">
        <f>SUMIFS(Transactions!H:H, Transactions!D:D, "Salary", Transactions!B:B, 2)</f>
        <v>0</v>
      </c>
      <c r="I7" s="2">
        <f>SUMIFS(Transactions!H:H, Transactions!D:D, "Salary", Transactions!B:B, 3)</f>
        <v>0</v>
      </c>
      <c r="J7" s="2">
        <f>SUMIFS(Transactions!H:H, Transactions!D:D, "Salary", Transactions!B:B, 4)</f>
        <v>0</v>
      </c>
      <c r="K7" s="2">
        <f>SUMIFS(Transactions!H:H, Transactions!D:D, "Salary", Transactions!B:B, 5)</f>
        <v>0</v>
      </c>
      <c r="L7" s="2">
        <f>SUMIFS(Transactions!H:H, Transactions!D:D, "Salary", Transactions!B:B, 6)</f>
        <v>0</v>
      </c>
      <c r="M7" s="2">
        <f>SUMIFS(Transactions!H:H, Transactions!D:D, "Salary", Transactions!B:B, 7)</f>
        <v>0</v>
      </c>
      <c r="N7" s="2">
        <f>SUMIFS(Transactions!H:H, Transactions!D:D, "Salary", Transactions!B:B, 8)</f>
        <v>0</v>
      </c>
      <c r="O7" s="2">
        <f>SUMIFS(Transactions!H:H, Transactions!D:D, "Salary", Transactions!B:B, 9)</f>
        <v>0</v>
      </c>
      <c r="P7" s="2">
        <f>SUMIFS(Transactions!H:H, Transactions!D:D, "Salary", Transactions!B:B, 10)</f>
        <v>0</v>
      </c>
      <c r="Q7" s="2">
        <f>SUMIFS(Transactions!H:H, Transactions!D:D, "Salary", Transactions!B:B, 11)</f>
        <v>0</v>
      </c>
      <c r="R7" s="2">
        <f>SUMIFS(Transactions!H:H, Transactions!D:D, "Salary", Transactions!B:B, 12)</f>
        <v>0</v>
      </c>
      <c r="S7" s="2">
        <f>SUM($G$7:$R$7)</f>
        <v>0</v>
      </c>
    </row>
    <row r="8" spans="1:19" x14ac:dyDescent="0.2">
      <c r="A8" t="s">
        <v>12</v>
      </c>
      <c r="B8" s="2">
        <f>SUMIFS(Transactions!H:H, Transactions!D:D, "Salary", Transactions!B:B, 8)</f>
        <v>0</v>
      </c>
      <c r="C8" s="2">
        <v>0</v>
      </c>
      <c r="D8" s="2">
        <f>$B$8-$C$8</f>
        <v>0</v>
      </c>
      <c r="F8" t="s">
        <v>13</v>
      </c>
      <c r="G8" s="2">
        <f>SUMIFS(Transactions!H:H, Transactions!D:D, "Transport", Transactions!B:B, 1)</f>
        <v>0</v>
      </c>
      <c r="H8" s="2">
        <f>SUMIFS(Transactions!H:H, Transactions!D:D, "Transport", Transactions!B:B, 2)</f>
        <v>0</v>
      </c>
      <c r="I8" s="2">
        <f>SUMIFS(Transactions!H:H, Transactions!D:D, "Transport", Transactions!B:B, 3)</f>
        <v>0</v>
      </c>
      <c r="J8" s="2">
        <f>SUMIFS(Transactions!H:H, Transactions!D:D, "Transport", Transactions!B:B, 4)</f>
        <v>0</v>
      </c>
      <c r="K8" s="2">
        <f>SUMIFS(Transactions!H:H, Transactions!D:D, "Transport", Transactions!B:B, 5)</f>
        <v>0</v>
      </c>
      <c r="L8" s="2">
        <f>SUMIFS(Transactions!H:H, Transactions!D:D, "Transport", Transactions!B:B, 6)</f>
        <v>0</v>
      </c>
      <c r="M8" s="2">
        <f>SUMIFS(Transactions!H:H, Transactions!D:D, "Transport", Transactions!B:B, 7)</f>
        <v>0</v>
      </c>
      <c r="N8" s="2">
        <f>SUMIFS(Transactions!H:H, Transactions!D:D, "Transport", Transactions!B:B, 8)</f>
        <v>0</v>
      </c>
      <c r="O8" s="2">
        <f>SUMIFS(Transactions!H:H, Transactions!D:D, "Transport", Transactions!B:B, 9)</f>
        <v>0</v>
      </c>
      <c r="P8" s="2">
        <f>SUMIFS(Transactions!H:H, Transactions!D:D, "Transport", Transactions!B:B, 10)</f>
        <v>0</v>
      </c>
      <c r="Q8" s="2">
        <f>SUMIFS(Transactions!H:H, Transactions!D:D, "Transport", Transactions!B:B, 11)</f>
        <v>0</v>
      </c>
      <c r="R8" s="2">
        <f>SUMIFS(Transactions!H:H, Transactions!D:D, "Transport", Transactions!B:B, 12)</f>
        <v>0</v>
      </c>
      <c r="S8" s="2">
        <f>SUM($G$8:$R$8)</f>
        <v>0</v>
      </c>
    </row>
    <row r="9" spans="1:19" x14ac:dyDescent="0.2">
      <c r="A9" t="s">
        <v>13</v>
      </c>
      <c r="B9" s="2">
        <f>SUMIFS(Transactions!H:H, Transactions!D:D, "Transport", Transactions!B:B, 8)</f>
        <v>0</v>
      </c>
      <c r="C9" s="2">
        <v>0</v>
      </c>
      <c r="D9" s="2">
        <f>$B$9-$C$9</f>
        <v>0</v>
      </c>
      <c r="F9" t="s">
        <v>14</v>
      </c>
      <c r="G9" s="2">
        <f>SUMIFS(Transactions!H:H, Transactions!D:D, "Diesel", Transactions!B:B, 1)</f>
        <v>0</v>
      </c>
      <c r="H9" s="2">
        <f>SUMIFS(Transactions!H:H, Transactions!D:D, "Diesel", Transactions!B:B, 2)</f>
        <v>0</v>
      </c>
      <c r="I9" s="2">
        <f>SUMIFS(Transactions!H:H, Transactions!D:D, "Diesel", Transactions!B:B, 3)</f>
        <v>0</v>
      </c>
      <c r="J9" s="2">
        <f>SUMIFS(Transactions!H:H, Transactions!D:D, "Diesel", Transactions!B:B, 4)</f>
        <v>0</v>
      </c>
      <c r="K9" s="2">
        <f>SUMIFS(Transactions!H:H, Transactions!D:D, "Diesel", Transactions!B:B, 5)</f>
        <v>0</v>
      </c>
      <c r="L9" s="2">
        <f>SUMIFS(Transactions!H:H, Transactions!D:D, "Diesel", Transactions!B:B, 6)</f>
        <v>0</v>
      </c>
      <c r="M9" s="2">
        <f>SUMIFS(Transactions!H:H, Transactions!D:D, "Diesel", Transactions!B:B, 7)</f>
        <v>0</v>
      </c>
      <c r="N9" s="2">
        <f>SUMIFS(Transactions!H:H, Transactions!D:D, "Diesel", Transactions!B:B, 8)</f>
        <v>0</v>
      </c>
      <c r="O9" s="2">
        <f>SUMIFS(Transactions!H:H, Transactions!D:D, "Diesel", Transactions!B:B, 9)</f>
        <v>0</v>
      </c>
      <c r="P9" s="2">
        <f>SUMIFS(Transactions!H:H, Transactions!D:D, "Diesel", Transactions!B:B, 10)</f>
        <v>0</v>
      </c>
      <c r="Q9" s="2">
        <f>SUMIFS(Transactions!H:H, Transactions!D:D, "Diesel", Transactions!B:B, 11)</f>
        <v>0</v>
      </c>
      <c r="R9" s="2">
        <f>SUMIFS(Transactions!H:H, Transactions!D:D, "Diesel", Transactions!B:B, 12)</f>
        <v>0</v>
      </c>
      <c r="S9" s="2">
        <f>SUM($G$9:$R$9)</f>
        <v>0</v>
      </c>
    </row>
    <row r="10" spans="1:19" x14ac:dyDescent="0.2">
      <c r="A10" t="s">
        <v>14</v>
      </c>
      <c r="B10" s="2">
        <f>SUMIFS(Transactions!H:H, Transactions!D:D, "Diesel", Transactions!B:B, 8)</f>
        <v>0</v>
      </c>
      <c r="C10" s="2">
        <v>0</v>
      </c>
      <c r="D10" s="2">
        <f>$B$10-$C$10</f>
        <v>0</v>
      </c>
      <c r="F10" t="s">
        <v>15</v>
      </c>
      <c r="G10" s="2">
        <f>SUMIFS(Transactions!H:H, Transactions!D:D, "Feeds", Transactions!B:B, 1)</f>
        <v>0</v>
      </c>
      <c r="H10" s="2">
        <f>SUMIFS(Transactions!H:H, Transactions!D:D, "Feeds", Transactions!B:B, 2)</f>
        <v>0</v>
      </c>
      <c r="I10" s="2">
        <f>SUMIFS(Transactions!H:H, Transactions!D:D, "Feeds", Transactions!B:B, 3)</f>
        <v>0</v>
      </c>
      <c r="J10" s="2">
        <f>SUMIFS(Transactions!H:H, Transactions!D:D, "Feeds", Transactions!B:B, 4)</f>
        <v>0</v>
      </c>
      <c r="K10" s="2">
        <f>SUMIFS(Transactions!H:H, Transactions!D:D, "Feeds", Transactions!B:B, 5)</f>
        <v>0</v>
      </c>
      <c r="L10" s="2">
        <f>SUMIFS(Transactions!H:H, Transactions!D:D, "Feeds", Transactions!B:B, 6)</f>
        <v>0</v>
      </c>
      <c r="M10" s="2">
        <f>SUMIFS(Transactions!H:H, Transactions!D:D, "Feeds", Transactions!B:B, 7)</f>
        <v>0</v>
      </c>
      <c r="N10" s="2">
        <f>SUMIFS(Transactions!H:H, Transactions!D:D, "Feeds", Transactions!B:B, 8)</f>
        <v>0</v>
      </c>
      <c r="O10" s="2">
        <f>SUMIFS(Transactions!H:H, Transactions!D:D, "Feeds", Transactions!B:B, 9)</f>
        <v>0</v>
      </c>
      <c r="P10" s="2">
        <f>SUMIFS(Transactions!H:H, Transactions!D:D, "Feeds", Transactions!B:B, 10)</f>
        <v>0</v>
      </c>
      <c r="Q10" s="2">
        <f>SUMIFS(Transactions!H:H, Transactions!D:D, "Feeds", Transactions!B:B, 11)</f>
        <v>0</v>
      </c>
      <c r="R10" s="2">
        <f>SUMIFS(Transactions!H:H, Transactions!D:D, "Feeds", Transactions!B:B, 12)</f>
        <v>0</v>
      </c>
      <c r="S10" s="2">
        <f>SUM($G$10:$R$10)</f>
        <v>0</v>
      </c>
    </row>
    <row r="11" spans="1:19" x14ac:dyDescent="0.2">
      <c r="A11" t="s">
        <v>15</v>
      </c>
      <c r="B11" s="2">
        <f>SUMIFS(Transactions!H:H, Transactions!D:D, "Feeds", Transactions!B:B, 8)</f>
        <v>0</v>
      </c>
      <c r="C11" s="2">
        <v>0</v>
      </c>
      <c r="D11" s="2">
        <f>$B$11-$C$11</f>
        <v>0</v>
      </c>
      <c r="F11" t="s">
        <v>16</v>
      </c>
      <c r="G11" s="2">
        <f>SUMIFS(Transactions!H:H, Transactions!D:D, "Other", Transactions!B:B, 1)</f>
        <v>0</v>
      </c>
      <c r="H11" s="2">
        <f>SUMIFS(Transactions!H:H, Transactions!D:D, "Other", Transactions!B:B, 2)</f>
        <v>0</v>
      </c>
      <c r="I11" s="2">
        <f>SUMIFS(Transactions!H:H, Transactions!D:D, "Other", Transactions!B:B, 3)</f>
        <v>0</v>
      </c>
      <c r="J11" s="2">
        <f>SUMIFS(Transactions!H:H, Transactions!D:D, "Other", Transactions!B:B, 4)</f>
        <v>0</v>
      </c>
      <c r="K11" s="2">
        <f>SUMIFS(Transactions!H:H, Transactions!D:D, "Other", Transactions!B:B, 5)</f>
        <v>0</v>
      </c>
      <c r="L11" s="2">
        <f>SUMIFS(Transactions!H:H, Transactions!D:D, "Other", Transactions!B:B, 6)</f>
        <v>0</v>
      </c>
      <c r="M11" s="2">
        <f>SUMIFS(Transactions!H:H, Transactions!D:D, "Other", Transactions!B:B, 7)</f>
        <v>0</v>
      </c>
      <c r="N11" s="2">
        <f>SUMIFS(Transactions!H:H, Transactions!D:D, "Other", Transactions!B:B, 8)</f>
        <v>0</v>
      </c>
      <c r="O11" s="2">
        <f>SUMIFS(Transactions!H:H, Transactions!D:D, "Other", Transactions!B:B, 9)</f>
        <v>0</v>
      </c>
      <c r="P11" s="2">
        <f>SUMIFS(Transactions!H:H, Transactions!D:D, "Other", Transactions!B:B, 10)</f>
        <v>0</v>
      </c>
      <c r="Q11" s="2">
        <f>SUMIFS(Transactions!H:H, Transactions!D:D, "Other", Transactions!B:B, 11)</f>
        <v>0</v>
      </c>
      <c r="R11" s="2">
        <f>SUMIFS(Transactions!H:H, Transactions!D:D, "Other", Transactions!B:B, 12)</f>
        <v>0</v>
      </c>
      <c r="S11" s="2">
        <f>SUM($G$11:$R$11)</f>
        <v>0</v>
      </c>
    </row>
    <row r="12" spans="1:19" x14ac:dyDescent="0.2">
      <c r="A12" t="s">
        <v>16</v>
      </c>
      <c r="B12" s="2">
        <f>SUMIFS(Transactions!H:H, Transactions!D:D, "Other", Transactions!B:B, 8)</f>
        <v>0</v>
      </c>
      <c r="C12" s="2">
        <v>0</v>
      </c>
      <c r="D12" s="2">
        <f>$B$12-$C$12</f>
        <v>0</v>
      </c>
      <c r="F12" t="s">
        <v>35</v>
      </c>
      <c r="G12" s="2">
        <f>SUM($G$7:$G$11)</f>
        <v>0</v>
      </c>
      <c r="H12" s="2">
        <f>SUM($H$7:$H$11)</f>
        <v>0</v>
      </c>
      <c r="I12" s="2">
        <f>SUM($I$7:$I$11)</f>
        <v>0</v>
      </c>
      <c r="J12" s="2">
        <f>SUM($J$7:$J$11)</f>
        <v>0</v>
      </c>
      <c r="K12" s="2">
        <f>SUM($K$7:$K$11)</f>
        <v>0</v>
      </c>
      <c r="L12" s="2">
        <f>SUM($L$7:$L$11)</f>
        <v>0</v>
      </c>
      <c r="M12" s="2">
        <f>SUM($M$7:$M$11)</f>
        <v>0</v>
      </c>
      <c r="N12" s="2">
        <f>SUM($N$7:$N$11)</f>
        <v>0</v>
      </c>
      <c r="O12" s="2">
        <f>SUM($O$7:$O$11)</f>
        <v>0</v>
      </c>
      <c r="P12" s="2">
        <f>SUM($P$7:$P$11)</f>
        <v>0</v>
      </c>
      <c r="Q12" s="2">
        <f>SUM($Q$7:$Q$11)</f>
        <v>0</v>
      </c>
      <c r="R12" s="2">
        <f>SUM($R$7:$R$11)</f>
        <v>0</v>
      </c>
      <c r="S12" s="2">
        <f>SUM($G$12:$R$12)</f>
        <v>0</v>
      </c>
    </row>
    <row r="13" spans="1:19" x14ac:dyDescent="0.2">
      <c r="A13" t="s">
        <v>37</v>
      </c>
      <c r="B13" s="2">
        <f>SUM($B$9:$B$12)</f>
        <v>0</v>
      </c>
      <c r="C13" s="2">
        <f>SUM($C$9:$C$12)</f>
        <v>0</v>
      </c>
      <c r="D13" s="2">
        <f>$B$13-$C$13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AFC64-4031-4946-B378-6BA2714D51B4}">
  <sheetPr codeName="Sheet1"/>
  <dimension ref="A1:H10"/>
  <sheetViews>
    <sheetView workbookViewId="0">
      <selection activeCell="E2" sqref="E2"/>
    </sheetView>
  </sheetViews>
  <sheetFormatPr baseColWidth="10" defaultRowHeight="16" x14ac:dyDescent="0.2"/>
  <cols>
    <col min="4" max="4" width="13.1640625" customWidth="1"/>
    <col min="5" max="5" width="11" customWidth="1"/>
    <col min="6" max="6" width="13" bestFit="1" customWidth="1"/>
    <col min="7" max="8" width="12" bestFit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</row>
    <row r="2" spans="1:8" x14ac:dyDescent="0.2">
      <c r="A2">
        <f>YEAR(Table1[[#This Row],[Date]])</f>
        <v>2025</v>
      </c>
      <c r="B2" t="str">
        <f>TEXT(Table1[[#This Row],[Date]], "mmmm")</f>
        <v>August</v>
      </c>
      <c r="C2" s="1">
        <v>45891</v>
      </c>
      <c r="D2" t="s">
        <v>8</v>
      </c>
      <c r="E2" t="s">
        <v>9</v>
      </c>
      <c r="F2" s="2">
        <v>3000</v>
      </c>
      <c r="G2" s="2">
        <v>0</v>
      </c>
      <c r="H2" s="2">
        <v>3000</v>
      </c>
    </row>
    <row r="3" spans="1:8" x14ac:dyDescent="0.2">
      <c r="A3">
        <f>YEAR(Table1[[#This Row],[Date]])</f>
        <v>2025</v>
      </c>
      <c r="B3" t="str">
        <f>TEXT(Table1[[#This Row],[Date]], "mmmm")</f>
        <v>August</v>
      </c>
      <c r="C3" s="1">
        <v>45891</v>
      </c>
      <c r="D3" t="s">
        <v>8</v>
      </c>
      <c r="E3" t="s">
        <v>10</v>
      </c>
      <c r="F3" s="2">
        <v>5000</v>
      </c>
      <c r="G3" s="2">
        <v>3000</v>
      </c>
      <c r="H3" s="2">
        <v>5000</v>
      </c>
    </row>
    <row r="4" spans="1:8" x14ac:dyDescent="0.2">
      <c r="A4">
        <f>YEAR(Table1[[#This Row],[Date]])</f>
        <v>2025</v>
      </c>
      <c r="B4" t="str">
        <f>TEXT(Table1[[#This Row],[Date]], "mmmm")</f>
        <v>August</v>
      </c>
      <c r="C4" s="1">
        <v>45891</v>
      </c>
      <c r="F4" s="2">
        <v>4000</v>
      </c>
      <c r="G4" s="2"/>
      <c r="H4" s="2">
        <v>9000</v>
      </c>
    </row>
    <row r="5" spans="1:8" x14ac:dyDescent="0.2">
      <c r="A5">
        <f>YEAR(Table1[[#This Row],[Date]])</f>
        <v>2025</v>
      </c>
      <c r="B5" t="str">
        <f>TEXT(Table1[[#This Row],[Date]], "mmmm")</f>
        <v>August</v>
      </c>
      <c r="C5" s="1">
        <v>45891</v>
      </c>
      <c r="D5" t="s">
        <v>8</v>
      </c>
      <c r="F5" s="2"/>
      <c r="G5" s="2"/>
      <c r="H5" s="2">
        <v>9000</v>
      </c>
    </row>
    <row r="6" spans="1:8" x14ac:dyDescent="0.2">
      <c r="A6">
        <f>YEAR(Table1[[#This Row],[Date]])</f>
        <v>2025</v>
      </c>
      <c r="B6" t="str">
        <f>TEXT(Table1[[#This Row],[Date]], "mmmm")</f>
        <v>August</v>
      </c>
      <c r="C6" s="1">
        <v>45891</v>
      </c>
      <c r="D6" t="s">
        <v>8</v>
      </c>
      <c r="E6" t="s">
        <v>16</v>
      </c>
      <c r="F6" s="2">
        <v>0</v>
      </c>
      <c r="G6" s="2">
        <v>1000</v>
      </c>
      <c r="H6" s="2">
        <v>8000</v>
      </c>
    </row>
    <row r="7" spans="1:8" x14ac:dyDescent="0.2">
      <c r="A7">
        <f>YEAR(Table1[[#This Row],[Date]])</f>
        <v>2025</v>
      </c>
      <c r="B7" t="str">
        <f>TEXT(Table1[[#This Row],[Date]], "mmmm")</f>
        <v>August</v>
      </c>
      <c r="C7" s="1">
        <v>45891</v>
      </c>
      <c r="D7" t="s">
        <v>8</v>
      </c>
      <c r="E7" t="s">
        <v>14</v>
      </c>
      <c r="F7" s="2">
        <v>5000</v>
      </c>
      <c r="G7" s="2">
        <v>3000</v>
      </c>
      <c r="H7" s="2">
        <v>10000</v>
      </c>
    </row>
    <row r="8" spans="1:8" x14ac:dyDescent="0.2">
      <c r="A8">
        <f>YEAR(Table1[[#This Row],[Date]])</f>
        <v>2025</v>
      </c>
      <c r="B8" t="str">
        <f>TEXT(Table1[[#This Row],[Date]], "mmmm")</f>
        <v>August</v>
      </c>
      <c r="C8" s="1">
        <v>45891</v>
      </c>
      <c r="D8" t="s">
        <v>8</v>
      </c>
      <c r="E8" t="s">
        <v>16</v>
      </c>
      <c r="F8" s="2">
        <v>0</v>
      </c>
      <c r="G8" s="2">
        <v>50000</v>
      </c>
      <c r="H8" s="2">
        <v>-40000</v>
      </c>
    </row>
    <row r="9" spans="1:8" x14ac:dyDescent="0.2">
      <c r="A9">
        <f>YEAR(Table1[[#This Row],[Date]])</f>
        <v>2025</v>
      </c>
      <c r="B9" t="str">
        <f>TEXT(Table1[[#This Row],[Date]], "mmmm")</f>
        <v>August</v>
      </c>
      <c r="C9" s="1">
        <v>45891</v>
      </c>
      <c r="D9" t="s">
        <v>8</v>
      </c>
      <c r="E9" t="s">
        <v>14</v>
      </c>
      <c r="F9" s="2">
        <v>50000</v>
      </c>
      <c r="G9" s="2">
        <v>1000</v>
      </c>
      <c r="H9" s="2">
        <v>9000</v>
      </c>
    </row>
    <row r="10" spans="1:8" x14ac:dyDescent="0.2">
      <c r="A10">
        <f>YEAR(Table1[[#This Row],[Date]])</f>
        <v>1900</v>
      </c>
      <c r="B10" t="str">
        <f>TEXT(Table1[[#This Row],[Date]], "mmmm")</f>
        <v>January</v>
      </c>
      <c r="C10" s="1"/>
      <c r="F10" s="2">
        <v>7000</v>
      </c>
      <c r="G10" s="2"/>
      <c r="H10" s="2">
        <v>16000</v>
      </c>
    </row>
  </sheetData>
  <dataValidations count="1">
    <dataValidation type="list" allowBlank="1" showInputMessage="1" showErrorMessage="1" sqref="E1:E1048576" xr:uid="{23B5BD94-BA32-0C4E-89AC-E7F107D67C76}">
      <formula1>CategoryList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E0EF5-590B-B446-A7E7-EA8DCA1F95C1}">
  <sheetPr codeName="Sheet2"/>
  <dimension ref="A1:B7"/>
  <sheetViews>
    <sheetView workbookViewId="0">
      <selection activeCell="A2" sqref="A2:A7"/>
    </sheetView>
  </sheetViews>
  <sheetFormatPr baseColWidth="10" defaultRowHeight="16" x14ac:dyDescent="0.2"/>
  <cols>
    <col min="1" max="1" width="11" customWidth="1"/>
  </cols>
  <sheetData>
    <row r="1" spans="1:2" x14ac:dyDescent="0.2">
      <c r="A1" t="s">
        <v>4</v>
      </c>
      <c r="B1" t="s">
        <v>11</v>
      </c>
    </row>
    <row r="2" spans="1:2" x14ac:dyDescent="0.2">
      <c r="A2" t="s">
        <v>12</v>
      </c>
      <c r="B2" t="s">
        <v>6</v>
      </c>
    </row>
    <row r="3" spans="1:2" x14ac:dyDescent="0.2">
      <c r="A3" t="s">
        <v>13</v>
      </c>
      <c r="B3" t="s">
        <v>6</v>
      </c>
    </row>
    <row r="4" spans="1:2" x14ac:dyDescent="0.2">
      <c r="A4" t="s">
        <v>14</v>
      </c>
      <c r="B4" t="s">
        <v>6</v>
      </c>
    </row>
    <row r="5" spans="1:2" x14ac:dyDescent="0.2">
      <c r="A5" t="s">
        <v>15</v>
      </c>
      <c r="B5" t="s">
        <v>6</v>
      </c>
    </row>
    <row r="6" spans="1:2" x14ac:dyDescent="0.2">
      <c r="A6" t="s">
        <v>16</v>
      </c>
      <c r="B6" t="s">
        <v>6</v>
      </c>
    </row>
    <row r="7" spans="1:2" x14ac:dyDescent="0.2">
      <c r="A7" t="s">
        <v>5</v>
      </c>
      <c r="B7" t="s">
        <v>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FinanceTracker</vt:lpstr>
      <vt:lpstr>Transactions</vt:lpstr>
      <vt:lpstr>Sheet2</vt:lpstr>
      <vt:lpstr>CategoryList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Opio Emmanuel</dc:creator>
  <cp:lastModifiedBy>Opio Emmanuel</cp:lastModifiedBy>
  <dcterms:created xsi:type="dcterms:W3CDTF">2025-08-22T07:15:28Z</dcterms:created>
  <dcterms:modified xsi:type="dcterms:W3CDTF">2025-08-24T10:06:43Z</dcterms:modified>
</cp:coreProperties>
</file>